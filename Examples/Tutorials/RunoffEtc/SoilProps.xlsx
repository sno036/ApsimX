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aUnderVC\ApsimX\Examples\Tutorials\"/>
    </mc:Choice>
  </mc:AlternateContent>
  <xr:revisionPtr revIDLastSave="0" documentId="13_ncr:1_{0671D74F-F057-405E-81A9-DA52AA90A526}" xr6:coauthVersionLast="47" xr6:coauthVersionMax="47" xr10:uidLastSave="{00000000-0000-0000-0000-000000000000}"/>
  <bookViews>
    <workbookView xWindow="30" yWindow="15" windowWidth="23010" windowHeight="13890" xr2:uid="{377D550E-A5FB-41FC-A16A-0BF057AA0381}"/>
  </bookViews>
  <sheets>
    <sheet name="Sheet1" sheetId="1" r:id="rId1"/>
  </sheets>
  <calcPr calcId="191029" iterate="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5" i="1"/>
  <c r="G36" i="1"/>
  <c r="G37" i="1"/>
  <c r="G38" i="1"/>
  <c r="G39" i="1"/>
  <c r="G40" i="1"/>
  <c r="G33" i="1"/>
  <c r="I29" i="1"/>
  <c r="H29" i="1"/>
  <c r="G48" i="1"/>
  <c r="G49" i="1" s="1"/>
  <c r="E49" i="1"/>
  <c r="E48" i="1"/>
  <c r="E34" i="1"/>
  <c r="E35" i="1"/>
  <c r="E36" i="1"/>
  <c r="E37" i="1"/>
  <c r="E38" i="1"/>
  <c r="E39" i="1"/>
  <c r="E40" i="1"/>
  <c r="E33" i="1"/>
  <c r="E23" i="1"/>
  <c r="E22" i="1"/>
  <c r="E21" i="1"/>
  <c r="E20" i="1"/>
  <c r="E19" i="1"/>
  <c r="E11" i="1"/>
  <c r="E12" i="1"/>
  <c r="E9" i="1"/>
  <c r="E10" i="1"/>
  <c r="E8" i="1"/>
</calcChain>
</file>

<file path=xl/sharedStrings.xml><?xml version="1.0" encoding="utf-8"?>
<sst xmlns="http://schemas.openxmlformats.org/spreadsheetml/2006/main" count="10" uniqueCount="7">
  <si>
    <t>mm/day</t>
  </si>
  <si>
    <t>#1327</t>
  </si>
  <si>
    <t>mm/hr</t>
  </si>
  <si>
    <t>0-200</t>
  </si>
  <si>
    <t>#1333</t>
  </si>
  <si>
    <t>Klrye</t>
  </si>
  <si>
    <t>KLClo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</si>
</sst>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24</xdr:col>
      <xdr:colOff>560762</xdr:colOff>
      <xdr:row>26</xdr:row>
      <xdr:rowOff>94762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DAB6B0-C3FF-4E8A-74B0-EA924C53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0" y="1143000"/>
          <a:ext cx="9704762" cy="39047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A4136-1A17-4636-AD8C-DEF4C0F445F5}">
  <dimension ref="C6:K49"/>
  <sheetViews>
    <sheetView tabSelected="1" workbookViewId="0">
      <selection activeCell="O31" sqref="O31:P33"/>
    </sheetView>
  </sheetViews>
  <sheetFormatPr defaultRowHeight="15" x14ac:dyDescent="0.25"/>
  <sheetData>
    <row r="6" spans="3:5" x14ac:dyDescent="0.25">
      <c r="D6" t="s">
        <v>1</v>
      </c>
    </row>
    <row r="7" spans="3:5" x14ac:dyDescent="0.25">
      <c r="D7" t="s">
        <v>0</v>
      </c>
      <c r="E7" t="s">
        <v>2</v>
      </c>
    </row>
    <row r="8" spans="3:5" x14ac:dyDescent="0.25">
      <c r="C8" t="s">
        <v>3</v>
      </c>
      <c r="D8">
        <v>571.26499999999999</v>
      </c>
      <c r="E8">
        <f>D8/24</f>
        <v>23.802708333333332</v>
      </c>
    </row>
    <row r="9" spans="3:5" x14ac:dyDescent="0.25">
      <c r="D9">
        <v>230.999</v>
      </c>
      <c r="E9">
        <f t="shared" ref="E9:E12" si="0">D9/24</f>
        <v>9.6249583333333337</v>
      </c>
    </row>
    <row r="10" spans="3:5" x14ac:dyDescent="0.25">
      <c r="D10">
        <v>85.674999999999997</v>
      </c>
      <c r="E10">
        <f t="shared" si="0"/>
        <v>3.5697916666666667</v>
      </c>
    </row>
    <row r="11" spans="3:5" x14ac:dyDescent="0.25">
      <c r="D11">
        <v>19.268999999999998</v>
      </c>
      <c r="E11">
        <f t="shared" si="0"/>
        <v>0.80287499999999989</v>
      </c>
    </row>
    <row r="12" spans="3:5" x14ac:dyDescent="0.25">
      <c r="D12">
        <v>28.074999999999999</v>
      </c>
      <c r="E12">
        <f t="shared" si="0"/>
        <v>1.1697916666666666</v>
      </c>
    </row>
    <row r="17" spans="3:10" x14ac:dyDescent="0.25">
      <c r="D17" t="s">
        <v>4</v>
      </c>
    </row>
    <row r="18" spans="3:10" x14ac:dyDescent="0.25">
      <c r="D18" t="s">
        <v>0</v>
      </c>
      <c r="E18" t="s">
        <v>2</v>
      </c>
    </row>
    <row r="19" spans="3:10" x14ac:dyDescent="0.25">
      <c r="C19" t="s">
        <v>3</v>
      </c>
      <c r="D19" s="1">
        <v>1216.704</v>
      </c>
      <c r="E19">
        <f>D19/24</f>
        <v>50.695999999999998</v>
      </c>
    </row>
    <row r="20" spans="3:10" x14ac:dyDescent="0.25">
      <c r="D20">
        <v>346.99200000000002</v>
      </c>
      <c r="E20">
        <f t="shared" ref="E20:E23" si="1">D20/24</f>
        <v>14.458</v>
      </c>
    </row>
    <row r="21" spans="3:10" x14ac:dyDescent="0.25">
      <c r="D21">
        <v>124.401</v>
      </c>
      <c r="E21">
        <f t="shared" si="1"/>
        <v>5.1833749999999998</v>
      </c>
    </row>
    <row r="22" spans="3:10" x14ac:dyDescent="0.25">
      <c r="D22">
        <v>60.561999999999998</v>
      </c>
      <c r="E22">
        <f t="shared" si="1"/>
        <v>2.5234166666666664</v>
      </c>
    </row>
    <row r="23" spans="3:10" x14ac:dyDescent="0.25">
      <c r="D23">
        <v>49.749000000000002</v>
      </c>
      <c r="E23">
        <f t="shared" si="1"/>
        <v>2.0728750000000002</v>
      </c>
    </row>
    <row r="29" spans="3:10" x14ac:dyDescent="0.25">
      <c r="G29">
        <v>140</v>
      </c>
      <c r="H29">
        <f>24*G29</f>
        <v>3360</v>
      </c>
      <c r="I29">
        <f>F33/H29</f>
        <v>0.36211428571428572</v>
      </c>
    </row>
    <row r="32" spans="3:10" x14ac:dyDescent="0.25">
      <c r="I32" t="s">
        <v>5</v>
      </c>
      <c r="J32" t="s">
        <v>6</v>
      </c>
    </row>
    <row r="33" spans="3:11" x14ac:dyDescent="0.25">
      <c r="C33">
        <v>0</v>
      </c>
      <c r="D33">
        <v>50</v>
      </c>
      <c r="E33">
        <f>AVERAGE(C33:D33)</f>
        <v>25</v>
      </c>
      <c r="F33" s="1">
        <v>1216.704</v>
      </c>
      <c r="G33">
        <f>ROUND(0.35*F33,0)</f>
        <v>426</v>
      </c>
      <c r="I33">
        <v>0.1</v>
      </c>
      <c r="J33">
        <v>0.1</v>
      </c>
      <c r="K33">
        <v>1</v>
      </c>
    </row>
    <row r="34" spans="3:11" x14ac:dyDescent="0.25">
      <c r="C34">
        <v>50</v>
      </c>
      <c r="D34">
        <v>100</v>
      </c>
      <c r="E34">
        <f t="shared" ref="E34:E40" si="2">AVERAGE(C34:D34)</f>
        <v>75</v>
      </c>
      <c r="F34" s="1">
        <v>1216.704</v>
      </c>
      <c r="G34">
        <f t="shared" ref="G34:G40" si="3">ROUND(0.35*F34,0)</f>
        <v>426</v>
      </c>
      <c r="I34">
        <v>0.1</v>
      </c>
      <c r="J34">
        <v>0.1</v>
      </c>
      <c r="K34">
        <v>1</v>
      </c>
    </row>
    <row r="35" spans="3:11" x14ac:dyDescent="0.25">
      <c r="C35">
        <v>100</v>
      </c>
      <c r="D35">
        <v>200</v>
      </c>
      <c r="E35">
        <f t="shared" si="2"/>
        <v>150</v>
      </c>
      <c r="F35" s="1">
        <v>1216.704</v>
      </c>
      <c r="G35">
        <f t="shared" si="3"/>
        <v>426</v>
      </c>
      <c r="I35">
        <v>0.06</v>
      </c>
      <c r="J35">
        <v>0.03</v>
      </c>
      <c r="K35">
        <v>1</v>
      </c>
    </row>
    <row r="36" spans="3:11" x14ac:dyDescent="0.25">
      <c r="C36">
        <v>200</v>
      </c>
      <c r="D36">
        <v>450</v>
      </c>
      <c r="E36">
        <f t="shared" si="2"/>
        <v>325</v>
      </c>
      <c r="F36">
        <v>346.99200000000002</v>
      </c>
      <c r="G36">
        <f t="shared" si="3"/>
        <v>121</v>
      </c>
      <c r="I36">
        <v>0.03</v>
      </c>
      <c r="J36">
        <v>1E-3</v>
      </c>
      <c r="K36">
        <v>1</v>
      </c>
    </row>
    <row r="37" spans="3:11" x14ac:dyDescent="0.25">
      <c r="C37">
        <v>450</v>
      </c>
      <c r="D37">
        <v>700</v>
      </c>
      <c r="E37">
        <f t="shared" si="2"/>
        <v>575</v>
      </c>
      <c r="F37">
        <v>124.401</v>
      </c>
      <c r="G37">
        <f t="shared" si="3"/>
        <v>44</v>
      </c>
      <c r="I37">
        <v>1E-3</v>
      </c>
      <c r="J37">
        <v>0</v>
      </c>
      <c r="K37">
        <v>1</v>
      </c>
    </row>
    <row r="38" spans="3:11" x14ac:dyDescent="0.25">
      <c r="C38">
        <v>700</v>
      </c>
      <c r="D38">
        <v>800</v>
      </c>
      <c r="E38">
        <f t="shared" si="2"/>
        <v>750</v>
      </c>
      <c r="F38">
        <v>60.561999999999998</v>
      </c>
      <c r="G38">
        <f t="shared" si="3"/>
        <v>21</v>
      </c>
      <c r="I38">
        <v>0</v>
      </c>
      <c r="J38">
        <v>0</v>
      </c>
      <c r="K38">
        <v>0</v>
      </c>
    </row>
    <row r="39" spans="3:11" x14ac:dyDescent="0.25">
      <c r="C39">
        <v>800</v>
      </c>
      <c r="D39">
        <v>1100</v>
      </c>
      <c r="E39">
        <f t="shared" si="2"/>
        <v>950</v>
      </c>
      <c r="F39">
        <v>60.561999999999998</v>
      </c>
      <c r="G39">
        <f t="shared" si="3"/>
        <v>21</v>
      </c>
      <c r="I39">
        <v>0</v>
      </c>
      <c r="J39">
        <v>0</v>
      </c>
      <c r="K39">
        <v>0</v>
      </c>
    </row>
    <row r="40" spans="3:11" x14ac:dyDescent="0.25">
      <c r="C40">
        <v>1100</v>
      </c>
      <c r="D40">
        <v>1500</v>
      </c>
      <c r="E40">
        <f t="shared" si="2"/>
        <v>1300</v>
      </c>
      <c r="F40">
        <v>49.749000000000002</v>
      </c>
      <c r="G40">
        <f t="shared" si="3"/>
        <v>17</v>
      </c>
      <c r="I40">
        <v>0</v>
      </c>
      <c r="K40">
        <v>0</v>
      </c>
    </row>
    <row r="44" spans="3:11" x14ac:dyDescent="0.25">
      <c r="E44">
        <v>46</v>
      </c>
      <c r="G44">
        <v>168</v>
      </c>
    </row>
    <row r="45" spans="3:11" x14ac:dyDescent="0.25">
      <c r="E45">
        <v>21</v>
      </c>
      <c r="G45">
        <v>44</v>
      </c>
    </row>
    <row r="46" spans="3:11" x14ac:dyDescent="0.25">
      <c r="E46">
        <v>22</v>
      </c>
      <c r="G46">
        <v>12</v>
      </c>
    </row>
    <row r="48" spans="3:11" x14ac:dyDescent="0.25">
      <c r="E48">
        <f>E44+E45/60+E46/60/60</f>
        <v>46.356111111111112</v>
      </c>
      <c r="G48">
        <f>G44+G45/60+G46/60/60</f>
        <v>168.73666666666665</v>
      </c>
    </row>
    <row r="49" spans="5:7" x14ac:dyDescent="0.25">
      <c r="E49">
        <f>ROUND(E48,3)</f>
        <v>46.356000000000002</v>
      </c>
      <c r="G49">
        <f>ROUND(G48,3)</f>
        <v>168.73699999999999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 Snow</dc:creator>
  <cp:lastModifiedBy>Val Snow</cp:lastModifiedBy>
  <dcterms:created xsi:type="dcterms:W3CDTF">2025-02-25T22:51:12Z</dcterms:created>
  <dcterms:modified xsi:type="dcterms:W3CDTF">2025-02-26T20:21:18Z</dcterms:modified>
</cp:coreProperties>
</file>