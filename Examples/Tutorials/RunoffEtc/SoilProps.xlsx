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aaUnderVC\ApsimX\Examples\Tutorials\RunoffEtc\"/>
    </mc:Choice>
  </mc:AlternateContent>
  <xr:revisionPtr revIDLastSave="0" documentId="13_ncr:1_{F4B696A9-0206-40B4-8803-513D094628CC}" xr6:coauthVersionLast="47" xr6:coauthVersionMax="47" xr10:uidLastSave="{00000000-0000-0000-0000-000000000000}"/>
  <bookViews>
    <workbookView minimized="1" xWindow="1335" yWindow="405" windowWidth="26925" windowHeight="19470" xr2:uid="{377D550E-A5FB-41FC-A16A-0BF057AA0381}"/>
  </bookViews>
  <sheets>
    <sheet name="Sheet1" sheetId="1" r:id="rId1"/>
    <sheet name="Sheet1 (2)" sheetId="2" r:id="rId2"/>
  </sheets>
  <definedNames>
    <definedName name="OLE_LINK12" localSheetId="1">'Sheet1 (2)'!$B$23</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1" i="1" l="1"/>
  <c r="Z50" i="1"/>
  <c r="Z49" i="1"/>
  <c r="Z48" i="1"/>
  <c r="Z47" i="1"/>
  <c r="Z46" i="1"/>
  <c r="Z45" i="1"/>
  <c r="Z44" i="1"/>
  <c r="Z41" i="1"/>
  <c r="Z40" i="1"/>
  <c r="Z39" i="1"/>
  <c r="Z38" i="1"/>
  <c r="Z37" i="1"/>
  <c r="Z36" i="1"/>
  <c r="Z35" i="1"/>
  <c r="Z34" i="1"/>
  <c r="C8" i="2"/>
  <c r="C14" i="2" s="1"/>
  <c r="D8" i="2"/>
  <c r="D14" i="2" s="1"/>
  <c r="C9" i="2"/>
  <c r="C11" i="2" s="1"/>
  <c r="D9" i="2"/>
  <c r="D15" i="2" s="1"/>
  <c r="C10" i="2"/>
  <c r="B11" i="2"/>
  <c r="C12" i="2"/>
  <c r="C15" i="2" s="1"/>
  <c r="D12" i="2"/>
  <c r="E12" i="2"/>
  <c r="B14" i="2"/>
  <c r="E14" i="2"/>
  <c r="B15" i="2"/>
  <c r="E15" i="2"/>
  <c r="G34" i="1" l="1"/>
  <c r="G35" i="1"/>
  <c r="G36" i="1"/>
  <c r="G37" i="1"/>
  <c r="G38" i="1"/>
  <c r="G39" i="1"/>
  <c r="G40" i="1"/>
  <c r="G33" i="1"/>
  <c r="I29" i="1"/>
  <c r="H29" i="1"/>
  <c r="G48" i="1"/>
  <c r="G49" i="1" s="1"/>
  <c r="E49" i="1"/>
  <c r="E48" i="1"/>
  <c r="E34" i="1"/>
  <c r="E35" i="1"/>
  <c r="E36" i="1"/>
  <c r="E37" i="1"/>
  <c r="E38" i="1"/>
  <c r="E39" i="1"/>
  <c r="E40" i="1"/>
  <c r="E33" i="1"/>
  <c r="E23" i="1"/>
  <c r="E22" i="1"/>
  <c r="E21" i="1"/>
  <c r="E20" i="1"/>
  <c r="E19" i="1"/>
  <c r="E11" i="1"/>
  <c r="E12" i="1"/>
  <c r="E9" i="1"/>
  <c r="E10" i="1"/>
  <c r="E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tc={2FEC07F0-CC45-4873-A3E0-D4A53444B2D0}</author>
    <author>tc={0CE607E6-1261-4871-AA8C-460156C912AB}</author>
  </authors>
  <commentList>
    <comment ref="E8" authorId="0" shapeId="0" xr:uid="{2FEC07F0-CC45-4873-A3E0-D4A53444B2D0}">
      <text>
        <t>[Threaded comment]
Your version of Excel allows you to read this threaded comment; however, any edits to it will get removed if the file is opened in a newer version of Excel. Learn more: https://go.microsoft.com/fwlink/?linkid=870924
Comment:
    Long-term average (Chandra may have the actual tabulated somewhere)</t>
      </text>
    </comment>
    <comment ref="D12" authorId="1" shapeId="0" xr:uid="{0CE607E6-1261-4871-AA8C-460156C912AB}">
      <text>
        <t>[Threaded comment]
Your version of Excel allows you to read this threaded comment; however, any edits to it will get removed if the file is opened in a newer version of Excel. Learn more: https://go.microsoft.com/fwlink/?linkid=870924
Comment:
    Average of both catchments over 3-year cropping period)</t>
      </text>
    </comment>
  </commentList>
</comments>
</file>

<file path=xl/sharedStrings.xml><?xml version="1.0" encoding="utf-8"?>
<sst xmlns="http://schemas.openxmlformats.org/spreadsheetml/2006/main" count="89" uniqueCount="56">
  <si>
    <t>mm/day</t>
  </si>
  <si>
    <t>#1327</t>
  </si>
  <si>
    <t>mm/hr</t>
  </si>
  <si>
    <t>0-200</t>
  </si>
  <si>
    <t>#1333</t>
  </si>
  <si>
    <t>Klrye</t>
  </si>
  <si>
    <t>KLClo</t>
  </si>
  <si>
    <r>
      <t xml:space="preserve">Monaghan, R.M., Paton, R.J., Smith, L.C., Drewry, J.J. and Littlejohn, R.P. 2005.  The impacts of nitrogen fertilisation and increased stocking rate on pasture yield, soil physical condition and nutrient losses in drainage from a cattle-grazed pasture.    </t>
    </r>
    <r>
      <rPr>
        <i/>
        <sz val="12"/>
        <color theme="1"/>
        <rFont val="Times New Roman"/>
        <family val="1"/>
      </rPr>
      <t>New Zealand Journal of Agricultural Research 48:</t>
    </r>
    <r>
      <rPr>
        <sz val="12"/>
        <color theme="1"/>
        <rFont val="Times New Roman"/>
        <family val="1"/>
      </rPr>
      <t xml:space="preserve"> 227-240</t>
    </r>
  </si>
  <si>
    <r>
      <t xml:space="preserve">Monaghan, R.M., Paton, R.J., Smith, L.C. and C. Binet  2000.  Nutrient losses in drainage and surface runoff from a cattle-grazed pasture in Southland.   </t>
    </r>
    <r>
      <rPr>
        <i/>
        <sz val="12"/>
        <color theme="1"/>
        <rFont val="Times New Roman"/>
        <family val="1"/>
      </rPr>
      <t xml:space="preserve">Proceedings of the New Zealand Grassland Association   </t>
    </r>
    <r>
      <rPr>
        <sz val="12"/>
        <color theme="1"/>
        <rFont val="Times New Roman"/>
        <family val="1"/>
      </rPr>
      <t>62: 99-104</t>
    </r>
  </si>
  <si>
    <r>
      <t xml:space="preserve">Smith, L.C. and Monaghan, R.M.  2003.  Nitrogen and phosphorus losses in overland flow from a cattle-grazed pasture in Southland.    </t>
    </r>
    <r>
      <rPr>
        <i/>
        <sz val="12"/>
        <color theme="1"/>
        <rFont val="Times New Roman"/>
        <family val="1"/>
      </rPr>
      <t>New Zealand Journal of Agricultural Research 46:</t>
    </r>
    <r>
      <rPr>
        <sz val="12"/>
        <color theme="1"/>
        <rFont val="Times New Roman"/>
        <family val="1"/>
      </rPr>
      <t xml:space="preserve"> 225-238</t>
    </r>
  </si>
  <si>
    <r>
      <t xml:space="preserve">Monaghan, R.M., Smith, L.C., Muirhead, R.W., 2016. Pathways of contaminant transfers to water from an artificially-drained soil under intensive grazing by dairy cows. </t>
    </r>
    <r>
      <rPr>
        <i/>
        <sz val="12"/>
        <color theme="1"/>
        <rFont val="Times New Roman"/>
        <family val="1"/>
      </rPr>
      <t>Agriculture, Ecosystems &amp; Environment</t>
    </r>
    <r>
      <rPr>
        <sz val="12"/>
        <color theme="1"/>
        <rFont val="Times New Roman"/>
        <family val="1"/>
      </rPr>
      <t xml:space="preserve"> 220: 76-88.</t>
    </r>
  </si>
  <si>
    <r>
      <t xml:space="preserve">Monaghan, R.M., Laurenson, S., Dalley, D.E. &amp; Orchiston, T.S. 2017. Grazing strategies for reducing contaminant losses to water from forage crop fields grazed by cattle during winter. </t>
    </r>
    <r>
      <rPr>
        <i/>
        <sz val="12"/>
        <color theme="1"/>
        <rFont val="Times New Roman"/>
        <family val="1"/>
      </rPr>
      <t>New Zealand Journal of Agricultural Research</t>
    </r>
    <r>
      <rPr>
        <sz val="12"/>
        <color theme="1"/>
        <rFont val="Times New Roman"/>
        <family val="1"/>
      </rPr>
      <t xml:space="preserve">, </t>
    </r>
    <r>
      <rPr>
        <i/>
        <sz val="12"/>
        <color theme="1"/>
        <rFont val="Times New Roman"/>
        <family val="1"/>
      </rPr>
      <t>60(3):</t>
    </r>
    <r>
      <rPr>
        <sz val="12"/>
        <color theme="1"/>
        <rFont val="Times New Roman"/>
        <family val="1"/>
      </rPr>
      <t xml:space="preserve"> 333-348.</t>
    </r>
  </si>
  <si>
    <t xml:space="preserve">Ghimire, C. P., Monaghan, R. M., Rutherford, A., Muirhead, R. W., and Lasseur, R. 2024. Grazing strategies for reducing contaminant losses in surface runoff from winter forage crop fields located in hill country and grazed by sheep. New Zealand Journal of Agricultural Research, 1-17. https://doi.org/10.1080/00288233.2024.2336043. </t>
  </si>
  <si>
    <t>Refs:</t>
  </si>
  <si>
    <t xml:space="preserve">     Surface runoff/surplus rainfall</t>
  </si>
  <si>
    <t xml:space="preserve">     Surface runoff/annual rainfall</t>
  </si>
  <si>
    <t xml:space="preserve">     Measured surface runoff</t>
  </si>
  <si>
    <t>nd</t>
  </si>
  <si>
    <t xml:space="preserve">     Assumed deep drainage</t>
  </si>
  <si>
    <t xml:space="preserve">     Measured mole-pipe drainage</t>
  </si>
  <si>
    <t>?</t>
  </si>
  <si>
    <t xml:space="preserve">     Modelled rainfall surplus</t>
  </si>
  <si>
    <t xml:space="preserve">     Rainfall</t>
  </si>
  <si>
    <t>Mean annual values, mm</t>
  </si>
  <si>
    <t>Internal soil drainage status:</t>
  </si>
  <si>
    <t>Rolling</t>
  </si>
  <si>
    <t>Flat</t>
  </si>
  <si>
    <t>Slope:</t>
  </si>
  <si>
    <t>Pallic (Timaru zl)</t>
  </si>
  <si>
    <t>Pallic (Pukemutu zl)</t>
  </si>
  <si>
    <t>Mix of Brown+Pallics</t>
  </si>
  <si>
    <t>Soil:</t>
  </si>
  <si>
    <t>Sheep-grazed winter crop</t>
  </si>
  <si>
    <t>Cattle-grazed winter crop</t>
  </si>
  <si>
    <t>Cattle-grazed pasture</t>
  </si>
  <si>
    <t>Landuse:</t>
  </si>
  <si>
    <t>Waitahuna</t>
  </si>
  <si>
    <t>Telford</t>
  </si>
  <si>
    <t>Tussock Creek</t>
  </si>
  <si>
    <t>Edendale</t>
  </si>
  <si>
    <t>0-50</t>
  </si>
  <si>
    <t>50-100</t>
  </si>
  <si>
    <t>100-200</t>
  </si>
  <si>
    <t>200-450</t>
  </si>
  <si>
    <t>450-700</t>
  </si>
  <si>
    <t>700-800</t>
  </si>
  <si>
    <t>800-1100</t>
  </si>
  <si>
    <t>1100-1500</t>
  </si>
  <si>
    <t>AD</t>
  </si>
  <si>
    <t>LL</t>
  </si>
  <si>
    <t>DUL</t>
  </si>
  <si>
    <t>BD</t>
  </si>
  <si>
    <t>SAT</t>
  </si>
  <si>
    <t>Mac</t>
  </si>
  <si>
    <t>Depths</t>
  </si>
  <si>
    <t>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</si>
</sst>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sz val="12"/>
      <color theme="1"/>
      <name val="Times New Roman"/>
      <family val="1"/>
    </font>
    <font>
      <i/>
      <sz val="12"/>
      <color theme="1"/>
      <name val="Times New Roman"/>
      <family val="1"/>
    </font>
    <font>
      <u/>
      <sz val="11"/>
      <color theme="10"/>
      <name val="Aptos Narrow"/>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2">
    <border>
      <left/>
      <right/>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7" fillId="0" borderId="0" applyNumberFormat="0" applyFill="0" applyBorder="0" applyAlignment="0" applyProtection="0"/>
  </cellStyleXfs>
  <cellXfs count="16">
    <xf numFmtId="0" fontId="0" fillId="0" borderId="0" xfId="0"/>
    <xf numFmtId="4" fontId="0" fillId="0" borderId="0" xfId="0" applyNumberFormat="1"/>
    <xf numFmtId="0" fontId="5" fillId="0" borderId="0" xfId="0" applyFont="1" applyAlignment="1">
      <alignment horizontal="left" vertical="center" indent="3"/>
    </xf>
    <xf numFmtId="0" fontId="5" fillId="0" borderId="0" xfId="0" applyFont="1" applyAlignment="1">
      <alignment horizontal="left" vertical="center" indent="4"/>
    </xf>
    <xf numFmtId="0" fontId="7" fillId="0" borderId="0" xfId="4" applyAlignment="1">
      <alignment horizontal="left" vertical="center" indent="3"/>
    </xf>
    <xf numFmtId="9" fontId="0" fillId="0" borderId="0" xfId="1" applyFont="1" applyAlignment="1">
      <alignment horizontal="center"/>
    </xf>
    <xf numFmtId="1" fontId="0" fillId="0" borderId="0" xfId="0" applyNumberFormat="1" applyAlignment="1">
      <alignment horizontal="center"/>
    </xf>
    <xf numFmtId="0" fontId="0" fillId="0" borderId="0" xfId="0" applyAlignment="1">
      <alignment horizontal="center"/>
    </xf>
    <xf numFmtId="1" fontId="4" fillId="0" borderId="0" xfId="0" applyNumberFormat="1" applyFont="1" applyAlignment="1">
      <alignment horizontal="center"/>
    </xf>
    <xf numFmtId="0" fontId="4" fillId="0" borderId="0" xfId="0" applyFont="1" applyAlignment="1">
      <alignment horizontal="center"/>
    </xf>
    <xf numFmtId="0" fontId="0" fillId="0" borderId="0" xfId="0" applyAlignment="1">
      <alignment horizontal="center" wrapText="1"/>
    </xf>
    <xf numFmtId="0" fontId="0" fillId="0" borderId="0" xfId="0" applyAlignment="1">
      <alignment horizontal="left"/>
    </xf>
    <xf numFmtId="0" fontId="3" fillId="3" borderId="0" xfId="3" applyAlignment="1">
      <alignment horizontal="center" wrapText="1"/>
    </xf>
    <xf numFmtId="0" fontId="2" fillId="2" borderId="0" xfId="2" applyAlignment="1">
      <alignment horizontal="center" wrapText="1"/>
    </xf>
    <xf numFmtId="0" fontId="0" fillId="0" borderId="0" xfId="0" applyAlignment="1">
      <alignment horizontal="right" wrapText="1"/>
    </xf>
    <xf numFmtId="0" fontId="0" fillId="0" borderId="1" xfId="0" applyBorder="1" applyAlignment="1">
      <alignment horizontal="center"/>
    </xf>
  </cellXfs>
  <cellStyles count="5">
    <cellStyle name="Good" xfId="2" builtinId="26"/>
    <cellStyle name="Hyperlink" xfId="4" builtinId="8"/>
    <cellStyle name="Neutral" xfId="3"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6</xdr:row>
      <xdr:rowOff>0</xdr:rowOff>
    </xdr:from>
    <xdr:to>
      <xdr:col>24</xdr:col>
      <xdr:colOff>560762</xdr:colOff>
      <xdr:row>26</xdr:row>
      <xdr:rowOff>94762</xdr:rowOff>
    </xdr:to>
    <xdr:pic>
      <xdr:nvPicPr>
        <xdr:cNvPr id="2" name="Picture 1">
          <a:extLst>
            <a:ext uri="{FF2B5EF4-FFF2-40B4-BE49-F238E27FC236}">
              <a16:creationId xmlns:a16="http://schemas.microsoft.com/office/drawing/2014/main" id="{FEDAB6B0-C3FF-4E8A-74B0-EA924C53EA7A}"/>
            </a:ext>
          </a:extLst>
        </xdr:cNvPr>
        <xdr:cNvPicPr>
          <a:picLocks noChangeAspect="1"/>
        </xdr:cNvPicPr>
      </xdr:nvPicPr>
      <xdr:blipFill>
        <a:blip xmlns:r="http://schemas.openxmlformats.org/officeDocument/2006/relationships" r:embed="rId1"/>
        <a:stretch>
          <a:fillRect/>
        </a:stretch>
      </xdr:blipFill>
      <xdr:spPr>
        <a:xfrm>
          <a:off x="5486400" y="1143000"/>
          <a:ext cx="9704762" cy="39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23</xdr:row>
      <xdr:rowOff>142875</xdr:rowOff>
    </xdr:from>
    <xdr:ext cx="5927915" cy="5838825"/>
    <xdr:pic>
      <xdr:nvPicPr>
        <xdr:cNvPr id="2" name="Picture 1" descr="NZLRI_manual.doc [Compatibility Mode] - Word">
          <a:extLst>
            <a:ext uri="{FF2B5EF4-FFF2-40B4-BE49-F238E27FC236}">
              <a16:creationId xmlns:a16="http://schemas.microsoft.com/office/drawing/2014/main" id="{69E0FAEE-CEB5-42C1-BF4A-7ED72A7BE6E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084" t="14049" r="21242" b="8224"/>
        <a:stretch/>
      </xdr:blipFill>
      <xdr:spPr>
        <a:xfrm>
          <a:off x="0" y="4524375"/>
          <a:ext cx="5927915" cy="5838825"/>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Ross Monaghan" id="{39A8C758-4FC8-44B9-AF3F-53713933F52D}" userId="S::ross.monaghan@agresearch.co.nz::aa0eb244-c404-4a5c-a506-4fb6f4549f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8" dT="2024-07-03T00:37:00.40" personId="{39A8C758-4FC8-44B9-AF3F-53713933F52D}" id="{2FEC07F0-CC45-4873-A3E0-D4A53444B2D0}">
    <text>Long-term average (Chandra may have the actual tabulated somewhere)</text>
  </threadedComment>
  <threadedComment ref="D12" dT="2024-07-03T00:43:42.94" personId="{39A8C758-4FC8-44B9-AF3F-53713933F52D}" id="{0CE607E6-1261-4871-AA8C-460156C912AB}">
    <text>Average of both catchments over 3-year cropping period)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s://doi.org/10.1080/00288233.2024.233604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4136-1A17-4636-AD8C-DEF4C0F445F5}">
  <dimension ref="C6:Z51"/>
  <sheetViews>
    <sheetView tabSelected="1" workbookViewId="0">
      <selection activeCell="F22" sqref="F22"/>
    </sheetView>
  </sheetViews>
  <sheetFormatPr defaultRowHeight="15" x14ac:dyDescent="0.25"/>
  <sheetData>
    <row r="6" spans="3:5" x14ac:dyDescent="0.25">
      <c r="D6" t="s">
        <v>1</v>
      </c>
    </row>
    <row r="7" spans="3:5" x14ac:dyDescent="0.25">
      <c r="D7" t="s">
        <v>0</v>
      </c>
      <c r="E7" t="s">
        <v>2</v>
      </c>
    </row>
    <row r="8" spans="3:5" x14ac:dyDescent="0.25">
      <c r="C8" t="s">
        <v>3</v>
      </c>
      <c r="D8">
        <v>571.26499999999999</v>
      </c>
      <c r="E8">
        <f>D8/24</f>
        <v>23.802708333333332</v>
      </c>
    </row>
    <row r="9" spans="3:5" x14ac:dyDescent="0.25">
      <c r="D9">
        <v>230.999</v>
      </c>
      <c r="E9">
        <f t="shared" ref="E9:E12" si="0">D9/24</f>
        <v>9.6249583333333337</v>
      </c>
    </row>
    <row r="10" spans="3:5" x14ac:dyDescent="0.25">
      <c r="D10">
        <v>85.674999999999997</v>
      </c>
      <c r="E10">
        <f t="shared" si="0"/>
        <v>3.5697916666666667</v>
      </c>
    </row>
    <row r="11" spans="3:5" x14ac:dyDescent="0.25">
      <c r="D11">
        <v>19.268999999999998</v>
      </c>
      <c r="E11">
        <f t="shared" si="0"/>
        <v>0.80287499999999989</v>
      </c>
    </row>
    <row r="12" spans="3:5" x14ac:dyDescent="0.25">
      <c r="D12">
        <v>28.074999999999999</v>
      </c>
      <c r="E12">
        <f t="shared" si="0"/>
        <v>1.1697916666666666</v>
      </c>
    </row>
    <row r="17" spans="3:10" x14ac:dyDescent="0.25">
      <c r="D17" t="s">
        <v>4</v>
      </c>
    </row>
    <row r="18" spans="3:10" x14ac:dyDescent="0.25">
      <c r="D18" t="s">
        <v>0</v>
      </c>
      <c r="E18" t="s">
        <v>2</v>
      </c>
    </row>
    <row r="19" spans="3:10" x14ac:dyDescent="0.25">
      <c r="C19" t="s">
        <v>3</v>
      </c>
      <c r="D19" s="1">
        <v>1216.704</v>
      </c>
      <c r="E19">
        <f>D19/24</f>
        <v>50.695999999999998</v>
      </c>
    </row>
    <row r="20" spans="3:10" x14ac:dyDescent="0.25">
      <c r="D20">
        <v>346.99200000000002</v>
      </c>
      <c r="E20">
        <f t="shared" ref="E20:E23" si="1">D20/24</f>
        <v>14.458</v>
      </c>
    </row>
    <row r="21" spans="3:10" x14ac:dyDescent="0.25">
      <c r="D21">
        <v>124.401</v>
      </c>
      <c r="E21">
        <f t="shared" si="1"/>
        <v>5.1833749999999998</v>
      </c>
    </row>
    <row r="22" spans="3:10" x14ac:dyDescent="0.25">
      <c r="D22">
        <v>60.561999999999998</v>
      </c>
      <c r="E22">
        <f t="shared" si="1"/>
        <v>2.5234166666666664</v>
      </c>
    </row>
    <row r="23" spans="3:10" x14ac:dyDescent="0.25">
      <c r="D23">
        <v>49.749000000000002</v>
      </c>
      <c r="E23">
        <f t="shared" si="1"/>
        <v>2.0728750000000002</v>
      </c>
    </row>
    <row r="29" spans="3:10" x14ac:dyDescent="0.25">
      <c r="G29">
        <v>140</v>
      </c>
      <c r="H29">
        <f>24*G29</f>
        <v>3360</v>
      </c>
      <c r="I29">
        <f>F33/H29</f>
        <v>0.36211428571428572</v>
      </c>
    </row>
    <row r="32" spans="3:10" x14ac:dyDescent="0.25">
      <c r="I32" t="s">
        <v>5</v>
      </c>
      <c r="J32" t="s">
        <v>6</v>
      </c>
    </row>
    <row r="33" spans="3:26" x14ac:dyDescent="0.25">
      <c r="C33">
        <v>0</v>
      </c>
      <c r="D33">
        <v>50</v>
      </c>
      <c r="E33">
        <f>AVERAGE(C33:D33)</f>
        <v>25</v>
      </c>
      <c r="F33" s="1">
        <v>1216.704</v>
      </c>
      <c r="G33">
        <f>ROUND(0.35*F33,0)</f>
        <v>426</v>
      </c>
      <c r="I33">
        <v>0.1</v>
      </c>
      <c r="J33">
        <v>0.1</v>
      </c>
      <c r="K33">
        <v>1</v>
      </c>
      <c r="S33" t="s">
        <v>54</v>
      </c>
      <c r="T33" t="s">
        <v>51</v>
      </c>
      <c r="U33" t="s">
        <v>48</v>
      </c>
      <c r="V33" t="s">
        <v>49</v>
      </c>
      <c r="W33" t="s">
        <v>50</v>
      </c>
      <c r="X33" t="s">
        <v>52</v>
      </c>
      <c r="Y33" t="s">
        <v>55</v>
      </c>
      <c r="Z33" t="s">
        <v>53</v>
      </c>
    </row>
    <row r="34" spans="3:26" x14ac:dyDescent="0.25">
      <c r="C34">
        <v>50</v>
      </c>
      <c r="D34">
        <v>100</v>
      </c>
      <c r="E34">
        <f t="shared" ref="E34:E40" si="2">AVERAGE(C34:D34)</f>
        <v>75</v>
      </c>
      <c r="F34" s="1">
        <v>1216.704</v>
      </c>
      <c r="G34">
        <f t="shared" ref="G34:G40" si="3">ROUND(0.35*F34,0)</f>
        <v>426</v>
      </c>
      <c r="I34">
        <v>0.1</v>
      </c>
      <c r="J34">
        <v>0.1</v>
      </c>
      <c r="K34">
        <v>1</v>
      </c>
      <c r="S34" t="s">
        <v>40</v>
      </c>
      <c r="T34">
        <v>1.21</v>
      </c>
      <c r="U34">
        <v>6.8000000000000005E-2</v>
      </c>
      <c r="V34">
        <v>0.20499999999999999</v>
      </c>
      <c r="W34">
        <v>0.44700000000000001</v>
      </c>
      <c r="X34">
        <v>0.49399999999999999</v>
      </c>
      <c r="Y34">
        <v>426</v>
      </c>
      <c r="Z34">
        <f>X34-W34</f>
        <v>4.6999999999999986E-2</v>
      </c>
    </row>
    <row r="35" spans="3:26" x14ac:dyDescent="0.25">
      <c r="C35">
        <v>100</v>
      </c>
      <c r="D35">
        <v>200</v>
      </c>
      <c r="E35">
        <f t="shared" si="2"/>
        <v>150</v>
      </c>
      <c r="F35" s="1">
        <v>1216.704</v>
      </c>
      <c r="G35">
        <f t="shared" si="3"/>
        <v>426</v>
      </c>
      <c r="I35">
        <v>0.06</v>
      </c>
      <c r="J35">
        <v>0.03</v>
      </c>
      <c r="K35">
        <v>1</v>
      </c>
      <c r="S35" t="s">
        <v>41</v>
      </c>
      <c r="T35">
        <v>1.21</v>
      </c>
      <c r="U35">
        <v>6.8000000000000005E-2</v>
      </c>
      <c r="V35">
        <v>0.20499999999999999</v>
      </c>
      <c r="W35">
        <v>0.44700000000000001</v>
      </c>
      <c r="X35">
        <v>0.49399999999999999</v>
      </c>
      <c r="Y35">
        <v>426</v>
      </c>
      <c r="Z35">
        <f t="shared" ref="Z35:Z41" si="4">X35-W35</f>
        <v>4.6999999999999986E-2</v>
      </c>
    </row>
    <row r="36" spans="3:26" x14ac:dyDescent="0.25">
      <c r="C36">
        <v>200</v>
      </c>
      <c r="D36">
        <v>450</v>
      </c>
      <c r="E36">
        <f t="shared" si="2"/>
        <v>325</v>
      </c>
      <c r="F36">
        <v>346.99200000000002</v>
      </c>
      <c r="G36">
        <f t="shared" si="3"/>
        <v>121</v>
      </c>
      <c r="I36">
        <v>0.03</v>
      </c>
      <c r="J36">
        <v>1E-3</v>
      </c>
      <c r="K36">
        <v>1</v>
      </c>
      <c r="S36" t="s">
        <v>42</v>
      </c>
      <c r="T36">
        <v>1.21</v>
      </c>
      <c r="U36">
        <v>6.8000000000000005E-2</v>
      </c>
      <c r="V36">
        <v>0.20499999999999999</v>
      </c>
      <c r="W36">
        <v>0.44700000000000001</v>
      </c>
      <c r="X36">
        <v>0.49399999999999999</v>
      </c>
      <c r="Y36">
        <v>426</v>
      </c>
      <c r="Z36">
        <f t="shared" si="4"/>
        <v>4.6999999999999986E-2</v>
      </c>
    </row>
    <row r="37" spans="3:26" x14ac:dyDescent="0.25">
      <c r="C37">
        <v>450</v>
      </c>
      <c r="D37">
        <v>700</v>
      </c>
      <c r="E37">
        <f t="shared" si="2"/>
        <v>575</v>
      </c>
      <c r="F37">
        <v>124.401</v>
      </c>
      <c r="G37">
        <f t="shared" si="3"/>
        <v>44</v>
      </c>
      <c r="I37">
        <v>1E-3</v>
      </c>
      <c r="J37">
        <v>0</v>
      </c>
      <c r="K37">
        <v>1</v>
      </c>
      <c r="S37" t="s">
        <v>43</v>
      </c>
      <c r="T37">
        <v>1.36</v>
      </c>
      <c r="U37">
        <v>6.5000000000000002E-2</v>
      </c>
      <c r="V37">
        <v>0.19800000000000001</v>
      </c>
      <c r="W37">
        <v>0.373</v>
      </c>
      <c r="X37">
        <v>0.46100000000000002</v>
      </c>
      <c r="Y37">
        <v>121</v>
      </c>
      <c r="Z37">
        <f t="shared" si="4"/>
        <v>8.8000000000000023E-2</v>
      </c>
    </row>
    <row r="38" spans="3:26" x14ac:dyDescent="0.25">
      <c r="C38">
        <v>700</v>
      </c>
      <c r="D38">
        <v>800</v>
      </c>
      <c r="E38">
        <f t="shared" si="2"/>
        <v>750</v>
      </c>
      <c r="F38">
        <v>60.561999999999998</v>
      </c>
      <c r="G38">
        <f t="shared" si="3"/>
        <v>21</v>
      </c>
      <c r="I38">
        <v>0</v>
      </c>
      <c r="J38">
        <v>0</v>
      </c>
      <c r="K38">
        <v>0</v>
      </c>
      <c r="S38" t="s">
        <v>44</v>
      </c>
      <c r="T38">
        <v>1.54</v>
      </c>
      <c r="U38">
        <v>7.0000000000000007E-2</v>
      </c>
      <c r="V38">
        <v>0.21299999999999999</v>
      </c>
      <c r="W38">
        <v>0.377</v>
      </c>
      <c r="X38">
        <v>0.40600000000000003</v>
      </c>
      <c r="Y38">
        <v>44</v>
      </c>
      <c r="Z38">
        <f t="shared" si="4"/>
        <v>2.9000000000000026E-2</v>
      </c>
    </row>
    <row r="39" spans="3:26" x14ac:dyDescent="0.25">
      <c r="C39">
        <v>800</v>
      </c>
      <c r="D39">
        <v>1100</v>
      </c>
      <c r="E39">
        <f t="shared" si="2"/>
        <v>950</v>
      </c>
      <c r="F39">
        <v>60.561999999999998</v>
      </c>
      <c r="G39">
        <f t="shared" si="3"/>
        <v>21</v>
      </c>
      <c r="I39">
        <v>0</v>
      </c>
      <c r="J39">
        <v>0</v>
      </c>
      <c r="K39">
        <v>0</v>
      </c>
      <c r="S39" t="s">
        <v>45</v>
      </c>
      <c r="T39">
        <v>1.62</v>
      </c>
      <c r="U39">
        <v>0.06</v>
      </c>
      <c r="V39">
        <v>0.182</v>
      </c>
      <c r="W39">
        <v>0.36099999999999999</v>
      </c>
      <c r="X39">
        <v>0.379</v>
      </c>
      <c r="Y39">
        <v>21</v>
      </c>
      <c r="Z39">
        <f t="shared" si="4"/>
        <v>1.8000000000000016E-2</v>
      </c>
    </row>
    <row r="40" spans="3:26" x14ac:dyDescent="0.25">
      <c r="C40">
        <v>1100</v>
      </c>
      <c r="D40">
        <v>1500</v>
      </c>
      <c r="E40">
        <f t="shared" si="2"/>
        <v>1300</v>
      </c>
      <c r="F40">
        <v>49.749000000000002</v>
      </c>
      <c r="G40">
        <f t="shared" si="3"/>
        <v>17</v>
      </c>
      <c r="I40">
        <v>0</v>
      </c>
      <c r="K40">
        <v>0</v>
      </c>
      <c r="S40" t="s">
        <v>46</v>
      </c>
      <c r="T40">
        <v>1.62</v>
      </c>
      <c r="U40">
        <v>0.06</v>
      </c>
      <c r="V40">
        <v>0.182</v>
      </c>
      <c r="W40">
        <v>0.36099999999999999</v>
      </c>
      <c r="X40">
        <v>0.379</v>
      </c>
      <c r="Y40">
        <v>21</v>
      </c>
      <c r="Z40">
        <f t="shared" si="4"/>
        <v>1.8000000000000016E-2</v>
      </c>
    </row>
    <row r="41" spans="3:26" x14ac:dyDescent="0.25">
      <c r="S41" t="s">
        <v>47</v>
      </c>
      <c r="T41">
        <v>1.62</v>
      </c>
      <c r="U41">
        <v>6.2E-2</v>
      </c>
      <c r="V41">
        <v>0.187</v>
      </c>
      <c r="W41">
        <v>0.34100000000000003</v>
      </c>
      <c r="X41">
        <v>0.38300000000000001</v>
      </c>
      <c r="Y41">
        <v>17</v>
      </c>
      <c r="Z41">
        <f t="shared" si="4"/>
        <v>4.1999999999999982E-2</v>
      </c>
    </row>
    <row r="43" spans="3:26" x14ac:dyDescent="0.25">
      <c r="S43" t="s">
        <v>54</v>
      </c>
      <c r="T43" t="s">
        <v>51</v>
      </c>
      <c r="U43" t="s">
        <v>48</v>
      </c>
      <c r="V43" t="s">
        <v>49</v>
      </c>
      <c r="W43" t="s">
        <v>50</v>
      </c>
      <c r="X43" t="s">
        <v>52</v>
      </c>
      <c r="Y43" t="s">
        <v>55</v>
      </c>
    </row>
    <row r="44" spans="3:26" x14ac:dyDescent="0.25">
      <c r="E44">
        <v>46</v>
      </c>
      <c r="G44">
        <v>168</v>
      </c>
      <c r="O44" t="s">
        <v>40</v>
      </c>
      <c r="P44">
        <v>5</v>
      </c>
      <c r="Q44">
        <v>73</v>
      </c>
      <c r="R44">
        <v>21</v>
      </c>
      <c r="S44" t="s">
        <v>40</v>
      </c>
      <c r="T44">
        <v>0.9</v>
      </c>
      <c r="U44">
        <v>6.8000000000000005E-2</v>
      </c>
      <c r="V44">
        <v>0.20499999999999999</v>
      </c>
      <c r="W44">
        <v>0.44700000000000001</v>
      </c>
      <c r="X44">
        <v>0.55000000000000004</v>
      </c>
      <c r="Y44">
        <v>426</v>
      </c>
      <c r="Z44">
        <f>X44-W44</f>
        <v>0.10300000000000004</v>
      </c>
    </row>
    <row r="45" spans="3:26" x14ac:dyDescent="0.25">
      <c r="E45">
        <v>21</v>
      </c>
      <c r="G45">
        <v>44</v>
      </c>
      <c r="O45" t="s">
        <v>41</v>
      </c>
      <c r="P45">
        <v>5</v>
      </c>
      <c r="Q45">
        <v>73</v>
      </c>
      <c r="R45">
        <v>21</v>
      </c>
      <c r="S45" t="s">
        <v>41</v>
      </c>
      <c r="T45">
        <v>0.9</v>
      </c>
      <c r="U45">
        <v>6.8000000000000005E-2</v>
      </c>
      <c r="V45">
        <v>0.20499999999999999</v>
      </c>
      <c r="W45">
        <v>0.44700000000000001</v>
      </c>
      <c r="X45">
        <v>0.55000000000000004</v>
      </c>
      <c r="Y45">
        <v>426</v>
      </c>
      <c r="Z45">
        <f t="shared" ref="Z45:Z51" si="5">X45-W45</f>
        <v>0.10300000000000004</v>
      </c>
    </row>
    <row r="46" spans="3:26" x14ac:dyDescent="0.25">
      <c r="E46">
        <v>22</v>
      </c>
      <c r="G46">
        <v>12</v>
      </c>
      <c r="O46" t="s">
        <v>42</v>
      </c>
      <c r="P46">
        <v>5</v>
      </c>
      <c r="Q46">
        <v>73</v>
      </c>
      <c r="R46">
        <v>21</v>
      </c>
      <c r="S46" t="s">
        <v>42</v>
      </c>
      <c r="T46">
        <v>1.21</v>
      </c>
      <c r="U46">
        <v>6.8000000000000005E-2</v>
      </c>
      <c r="V46">
        <v>0.20499999999999999</v>
      </c>
      <c r="W46">
        <v>0.44700000000000001</v>
      </c>
      <c r="X46">
        <v>0.49399999999999999</v>
      </c>
      <c r="Y46">
        <v>426</v>
      </c>
      <c r="Z46">
        <f t="shared" si="5"/>
        <v>4.6999999999999986E-2</v>
      </c>
    </row>
    <row r="47" spans="3:26" x14ac:dyDescent="0.25">
      <c r="O47" t="s">
        <v>43</v>
      </c>
      <c r="P47">
        <v>5</v>
      </c>
      <c r="Q47">
        <v>76</v>
      </c>
      <c r="R47">
        <v>18</v>
      </c>
      <c r="S47" t="s">
        <v>43</v>
      </c>
      <c r="T47">
        <v>1.36</v>
      </c>
      <c r="U47">
        <v>6.5000000000000002E-2</v>
      </c>
      <c r="V47">
        <v>0.19800000000000001</v>
      </c>
      <c r="W47">
        <v>0.373</v>
      </c>
      <c r="X47">
        <v>0.46100000000000002</v>
      </c>
      <c r="Y47">
        <v>121</v>
      </c>
      <c r="Z47">
        <f t="shared" si="5"/>
        <v>8.8000000000000023E-2</v>
      </c>
    </row>
    <row r="48" spans="3:26" x14ac:dyDescent="0.25">
      <c r="E48">
        <f>E44+E45/60+E46/60/60</f>
        <v>46.356111111111112</v>
      </c>
      <c r="G48">
        <f>G44+G45/60+G46/60/60</f>
        <v>168.73666666666665</v>
      </c>
      <c r="O48" t="s">
        <v>44</v>
      </c>
      <c r="P48">
        <v>5</v>
      </c>
      <c r="Q48">
        <v>73</v>
      </c>
      <c r="R48">
        <v>21</v>
      </c>
      <c r="S48" t="s">
        <v>44</v>
      </c>
      <c r="T48">
        <v>1.54</v>
      </c>
      <c r="U48">
        <v>7.0000000000000007E-2</v>
      </c>
      <c r="V48">
        <v>0.21299999999999999</v>
      </c>
      <c r="W48">
        <v>0.377</v>
      </c>
      <c r="X48">
        <v>0.40600000000000003</v>
      </c>
      <c r="Y48">
        <v>44</v>
      </c>
      <c r="Z48">
        <f t="shared" si="5"/>
        <v>2.9000000000000026E-2</v>
      </c>
    </row>
    <row r="49" spans="5:26" x14ac:dyDescent="0.25">
      <c r="E49">
        <f>ROUND(E48,3)</f>
        <v>46.356000000000002</v>
      </c>
      <c r="G49">
        <f>ROUND(G48,3)</f>
        <v>168.73699999999999</v>
      </c>
      <c r="O49" t="s">
        <v>45</v>
      </c>
      <c r="P49">
        <v>6</v>
      </c>
      <c r="Q49">
        <v>78</v>
      </c>
      <c r="R49">
        <v>15</v>
      </c>
      <c r="S49" t="s">
        <v>45</v>
      </c>
      <c r="T49">
        <v>1.62</v>
      </c>
      <c r="U49">
        <v>0.06</v>
      </c>
      <c r="V49">
        <v>0.182</v>
      </c>
      <c r="W49">
        <v>0.36099999999999999</v>
      </c>
      <c r="X49">
        <v>0.379</v>
      </c>
      <c r="Y49">
        <v>21</v>
      </c>
      <c r="Z49">
        <f t="shared" si="5"/>
        <v>1.8000000000000016E-2</v>
      </c>
    </row>
    <row r="50" spans="5:26" x14ac:dyDescent="0.25">
      <c r="O50" t="s">
        <v>46</v>
      </c>
      <c r="P50">
        <v>6</v>
      </c>
      <c r="Q50">
        <v>78</v>
      </c>
      <c r="R50">
        <v>15</v>
      </c>
      <c r="S50" t="s">
        <v>46</v>
      </c>
      <c r="T50">
        <v>1.62</v>
      </c>
      <c r="U50">
        <v>0.06</v>
      </c>
      <c r="V50">
        <v>0.182</v>
      </c>
      <c r="W50">
        <v>0.36099999999999999</v>
      </c>
      <c r="X50">
        <v>0.379</v>
      </c>
      <c r="Y50">
        <v>21</v>
      </c>
      <c r="Z50">
        <f t="shared" si="5"/>
        <v>1.8000000000000016E-2</v>
      </c>
    </row>
    <row r="51" spans="5:26" x14ac:dyDescent="0.25">
      <c r="O51" t="s">
        <v>47</v>
      </c>
      <c r="P51">
        <v>6</v>
      </c>
      <c r="Q51">
        <v>78</v>
      </c>
      <c r="R51">
        <v>15</v>
      </c>
      <c r="S51" t="s">
        <v>47</v>
      </c>
      <c r="T51">
        <v>1.62</v>
      </c>
      <c r="U51">
        <v>6.2E-2</v>
      </c>
      <c r="V51">
        <v>0.187</v>
      </c>
      <c r="W51">
        <v>0.34100000000000003</v>
      </c>
      <c r="X51">
        <v>0.38300000000000001</v>
      </c>
      <c r="Y51">
        <v>17</v>
      </c>
      <c r="Z51">
        <f t="shared" si="5"/>
        <v>4.1999999999999982E-2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0E76-8E09-4B11-8EB7-596FB1480B8C}">
  <dimension ref="A1:E23"/>
  <sheetViews>
    <sheetView workbookViewId="0">
      <selection activeCell="B21" sqref="B21"/>
    </sheetView>
  </sheetViews>
  <sheetFormatPr defaultRowHeight="15" x14ac:dyDescent="0.25"/>
  <cols>
    <col min="1" max="1" width="32.42578125" customWidth="1"/>
    <col min="2" max="2" width="19.140625" customWidth="1"/>
    <col min="3" max="3" width="19.85546875" customWidth="1"/>
    <col min="4" max="4" width="18.42578125" customWidth="1"/>
    <col min="5" max="5" width="20.7109375" customWidth="1"/>
  </cols>
  <sheetData>
    <row r="1" spans="1:5" s="7" customFormat="1" x14ac:dyDescent="0.25">
      <c r="B1" s="15" t="s">
        <v>39</v>
      </c>
      <c r="C1" s="15" t="s">
        <v>38</v>
      </c>
      <c r="D1" s="15" t="s">
        <v>37</v>
      </c>
      <c r="E1" s="15" t="s">
        <v>36</v>
      </c>
    </row>
    <row r="2" spans="1:5" s="10" customFormat="1" ht="30" x14ac:dyDescent="0.25">
      <c r="A2" s="14" t="s">
        <v>35</v>
      </c>
      <c r="B2" s="13" t="s">
        <v>34</v>
      </c>
      <c r="C2" s="13" t="s">
        <v>34</v>
      </c>
      <c r="D2" s="12" t="s">
        <v>33</v>
      </c>
      <c r="E2" s="12" t="s">
        <v>32</v>
      </c>
    </row>
    <row r="3" spans="1:5" s="10" customFormat="1" ht="23.25" customHeight="1" x14ac:dyDescent="0.25">
      <c r="A3" s="14" t="s">
        <v>31</v>
      </c>
      <c r="B3" s="13" t="s">
        <v>30</v>
      </c>
      <c r="C3" s="13" t="s">
        <v>29</v>
      </c>
      <c r="D3" s="12" t="s">
        <v>28</v>
      </c>
      <c r="E3" s="12" t="s">
        <v>28</v>
      </c>
    </row>
    <row r="4" spans="1:5" s="10" customFormat="1" ht="23.25" customHeight="1" x14ac:dyDescent="0.25">
      <c r="A4" s="14" t="s">
        <v>27</v>
      </c>
      <c r="B4" s="13" t="s">
        <v>26</v>
      </c>
      <c r="C4" s="13" t="s">
        <v>26</v>
      </c>
      <c r="D4" s="12" t="s">
        <v>25</v>
      </c>
      <c r="E4" s="12" t="s">
        <v>25</v>
      </c>
    </row>
    <row r="5" spans="1:5" s="10" customFormat="1" x14ac:dyDescent="0.25">
      <c r="A5" s="14" t="s">
        <v>24</v>
      </c>
      <c r="B5" s="13">
        <v>4</v>
      </c>
      <c r="C5" s="13">
        <v>3</v>
      </c>
      <c r="D5" s="12">
        <v>3</v>
      </c>
      <c r="E5" s="12">
        <v>3</v>
      </c>
    </row>
    <row r="7" spans="1:5" s="10" customFormat="1" x14ac:dyDescent="0.25">
      <c r="A7" s="11" t="s">
        <v>23</v>
      </c>
    </row>
    <row r="8" spans="1:5" x14ac:dyDescent="0.25">
      <c r="A8" t="s">
        <v>22</v>
      </c>
      <c r="B8" s="7">
        <v>911</v>
      </c>
      <c r="C8" s="6">
        <f>AVERAGE(1064,1153,928)</f>
        <v>1048.3333333333333</v>
      </c>
      <c r="D8" s="6">
        <f>AVERAGE(688,637,670)</f>
        <v>665</v>
      </c>
      <c r="E8" s="7">
        <v>850</v>
      </c>
    </row>
    <row r="9" spans="1:5" x14ac:dyDescent="0.25">
      <c r="A9" t="s">
        <v>21</v>
      </c>
      <c r="B9" s="7">
        <v>370</v>
      </c>
      <c r="C9" s="6">
        <f>AVERAGE(349,426,268)</f>
        <v>347.66666666666669</v>
      </c>
      <c r="D9" s="6">
        <f>AVERAGE(122,151,148)</f>
        <v>140.33333333333334</v>
      </c>
      <c r="E9" s="7" t="s">
        <v>20</v>
      </c>
    </row>
    <row r="10" spans="1:5" x14ac:dyDescent="0.25">
      <c r="A10" t="s">
        <v>19</v>
      </c>
      <c r="B10" s="7">
        <v>210</v>
      </c>
      <c r="C10" s="6">
        <f>AVERAGE(215,225,207)</f>
        <v>215.66666666666666</v>
      </c>
      <c r="D10" s="7" t="s">
        <v>17</v>
      </c>
      <c r="E10" s="7" t="s">
        <v>17</v>
      </c>
    </row>
    <row r="11" spans="1:5" x14ac:dyDescent="0.25">
      <c r="A11" t="s">
        <v>18</v>
      </c>
      <c r="B11" s="6">
        <f>B9-B10-B12</f>
        <v>157</v>
      </c>
      <c r="C11" s="6">
        <f>C9-C10-C12</f>
        <v>46.000000000000028</v>
      </c>
      <c r="D11" s="7" t="s">
        <v>17</v>
      </c>
      <c r="E11" s="7" t="s">
        <v>17</v>
      </c>
    </row>
    <row r="12" spans="1:5" x14ac:dyDescent="0.25">
      <c r="A12" t="s">
        <v>16</v>
      </c>
      <c r="B12" s="9">
        <v>3</v>
      </c>
      <c r="C12" s="8">
        <f>AVERAGE(127,45)</f>
        <v>86</v>
      </c>
      <c r="D12" s="8">
        <f>(AVERAGE(92,105))/3</f>
        <v>32.833333333333336</v>
      </c>
      <c r="E12" s="8">
        <f>AVERAGE(6,28,4)</f>
        <v>12.666666666666666</v>
      </c>
    </row>
    <row r="13" spans="1:5" x14ac:dyDescent="0.25">
      <c r="B13" s="7"/>
      <c r="C13" s="6"/>
      <c r="D13" s="7"/>
      <c r="E13" s="6"/>
    </row>
    <row r="14" spans="1:5" x14ac:dyDescent="0.25">
      <c r="A14" t="s">
        <v>15</v>
      </c>
      <c r="B14" s="5">
        <f>B$12/B8</f>
        <v>3.2930845225027441E-3</v>
      </c>
      <c r="C14" s="5">
        <f>C$12/C8</f>
        <v>8.2034976152623215E-2</v>
      </c>
      <c r="D14" s="5">
        <f>D$12/D8</f>
        <v>4.9373433583959903E-2</v>
      </c>
      <c r="E14" s="5">
        <f>E$12/E8</f>
        <v>1.4901960784313726E-2</v>
      </c>
    </row>
    <row r="15" spans="1:5" x14ac:dyDescent="0.25">
      <c r="A15" t="s">
        <v>14</v>
      </c>
      <c r="B15" s="5">
        <f>B$12/B9</f>
        <v>8.1081081081081086E-3</v>
      </c>
      <c r="C15" s="5">
        <f>C$12/C9</f>
        <v>0.24736337488015339</v>
      </c>
      <c r="D15" s="5">
        <f>D$12/D9</f>
        <v>0.23396674584323041</v>
      </c>
      <c r="E15" s="5" t="e">
        <f>E$12/E9</f>
        <v>#VALUE!</v>
      </c>
    </row>
    <row r="18" spans="1:5" x14ac:dyDescent="0.25">
      <c r="A18" t="s">
        <v>13</v>
      </c>
      <c r="E18" s="4" t="s">
        <v>12</v>
      </c>
    </row>
    <row r="19" spans="1:5" ht="15.75" x14ac:dyDescent="0.25">
      <c r="D19" s="2" t="s">
        <v>11</v>
      </c>
    </row>
    <row r="20" spans="1:5" ht="15.75" x14ac:dyDescent="0.25">
      <c r="C20" s="2" t="s">
        <v>10</v>
      </c>
    </row>
    <row r="21" spans="1:5" ht="15.75" x14ac:dyDescent="0.25">
      <c r="B21" s="2" t="s">
        <v>9</v>
      </c>
    </row>
    <row r="22" spans="1:5" ht="15.75" x14ac:dyDescent="0.25">
      <c r="B22" s="3" t="s">
        <v>8</v>
      </c>
    </row>
    <row r="23" spans="1:5" ht="15.75" x14ac:dyDescent="0.25">
      <c r="B23" s="2" t="s">
        <v>7</v>
      </c>
    </row>
  </sheetData>
  <hyperlinks>
    <hyperlink ref="E18" r:id="rId1" display="https://doi.org/10.1080/00288233.2024.2336043" xr:uid="{C994E477-DCAA-4098-8B81-98DA6EBA3449}"/>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Sheet1 (2)</vt:lpstr>
      <vt:lpstr>'Sheet1 (2)'!OLE_LINK12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 Snow</dc:creator>
  <cp:lastModifiedBy>Val Snow</cp:lastModifiedBy>
  <dcterms:created xsi:type="dcterms:W3CDTF">2025-02-25T22:51:12Z</dcterms:created>
  <dcterms:modified xsi:type="dcterms:W3CDTF">2025-02-27T04:29:38Z</dcterms:modified>
</cp:coreProperties>
</file>