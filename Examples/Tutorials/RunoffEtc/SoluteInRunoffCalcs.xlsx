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UnderVC\ApsimX\Examples\Tutorials\"/>
    </mc:Choice>
  </mc:AlternateContent>
  <xr:revisionPtr revIDLastSave="0" documentId="13_ncr:1_{10D89FDB-2B9F-4A40-99DF-A0B914807A2F}" xr6:coauthVersionLast="47" xr6:coauthVersionMax="47" xr10:uidLastSave="{00000000-0000-0000-0000-000000000000}"/>
  <bookViews>
    <workbookView xWindow="22650" yWindow="975" windowWidth="24495" windowHeight="19635" xr2:uid="{457C1435-C66A-40C7-B0EF-CBB12B028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J14" i="1" s="1"/>
  <c r="H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3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5" i="1"/>
  <c r="H16" i="1"/>
  <c r="B26" i="1"/>
  <c r="B27" i="1"/>
  <c r="B28" i="1"/>
  <c r="B29" i="1"/>
  <c r="B30" i="1"/>
  <c r="B21" i="1"/>
  <c r="B22" i="1"/>
  <c r="B23" i="1"/>
  <c r="B24" i="1"/>
  <c r="B25" i="1"/>
  <c r="B14" i="1"/>
  <c r="B15" i="1"/>
  <c r="B16" i="1"/>
  <c r="B17" i="1"/>
  <c r="B18" i="1"/>
  <c r="B13" i="1"/>
</calcChain>
</file>

<file path=xl/sharedStrings.xml><?xml version="1.0" encoding="utf-8"?>
<sst xmlns="http://schemas.openxmlformats.org/spreadsheetml/2006/main" count="17" uniqueCount="12">
  <si>
    <t>Depth constant</t>
  </si>
  <si>
    <t>MidLayer</t>
  </si>
  <si>
    <t>MaxDepthSoluteAccessible</t>
  </si>
  <si>
    <t>MaxEffectiveRunoff</t>
  </si>
  <si>
    <t>RunoffEffectivenessAtMovingSolute</t>
  </si>
  <si>
    <t>depthAvailabilityFactor</t>
  </si>
  <si>
    <t>DepthOfConstantAvailabilty</t>
  </si>
  <si>
    <t>S_sol_ppm</t>
  </si>
  <si>
    <t>fz</t>
  </si>
  <si>
    <t>TD_runoff</t>
  </si>
  <si>
    <t>runoffAmountFactor</t>
  </si>
  <si>
    <t>Removed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</si>
</sst>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Sheet1!$H$12</c:f>
              <c:strCache>
                <c:ptCount val="1"/>
                <c:pt idx="0">
                  <c:v>depthAvailabilityFactor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Sheet1!$G$13:$G$34</c:f>
              <c:numCache>
                <c:formatCode>General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</c:numCache>
            </c:numRef>
          </c:xVal>
          <c:yVal>
            <c:numRef>
              <c:f>Sheet1!$H$13:$H$34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0.95</c:v>
                </c:pt>
                <c:pt idx="6">
                  <c:v>0.85</c:v>
                </c:pt>
                <c:pt idx="7">
                  <c:v>0.75</c:v>
                </c:pt>
                <c:pt idx="8">
                  <c:v>0.65</c:v>
                </c:pt>
                <c:pt idx="9">
                  <c:v>0.55000000000000004</c:v>
                </c:pt>
                <c:pt idx="10">
                  <c:v>0.44999999999999996</c:v>
                </c:pt>
                <c:pt idx="11">
                  <c:v>0.35</c:v>
                </c:pt>
                <c:pt idx="12">
                  <c:v>0.25</c:v>
                </c:pt>
                <c:pt idx="13">
                  <c:v>0.15000000000000002</c:v>
                </c:pt>
                <c:pt idx="14">
                  <c:v>5.0000000000000044E-2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78-4464-96D2-429DA5586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201760"/>
        <c:axId val="610201040"/>
      </c:scatterChart>
      <c:valAx>
        <c:axId val="61020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01040"/>
        <c:crosses val="autoZero"/>
        <c:crossBetween val="midCat"/>
      </c:valAx>
      <c:valAx>
        <c:axId val="6102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0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13</xdr:row>
      <xdr:rowOff>0</xdr:rowOff>
    </xdr:from>
    <xdr:to>
      <xdr:col>24</xdr:col>
      <xdr:colOff>151695</xdr:colOff>
      <xdr:row>20</xdr:row>
      <xdr:rowOff>104595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A1C35-738B-4ABC-7E15-C07C64BA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2476500"/>
          <a:ext cx="5638095" cy="1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24</xdr:col>
      <xdr:colOff>237409</xdr:colOff>
      <xdr:row>40</xdr:row>
      <xdr:rowOff>28262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ABB35F-4D56-F06C-1532-0AB430C4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5143500"/>
          <a:ext cx="5723809" cy="25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24</xdr:col>
      <xdr:colOff>189790</xdr:colOff>
      <xdr:row>52</xdr:row>
      <xdr:rowOff>104500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2D8DEA-B460-8130-ED23-DCD94667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7810500"/>
          <a:ext cx="5676190" cy="2200000"/>
        </a:xfrm>
        <a:prstGeom prst="rect">
          <a:avLst/>
        </a:prstGeom>
      </xdr:spPr>
    </xdr:pic>
    <xdr:clientData/>
  </xdr:twoCellAnchor>
  <xdr:twoCellAnchor>
    <xdr:from>
      <xdr:col>0</xdr:col>
      <xdr:colOff>204787</xdr:colOff>
      <xdr:row>35</xdr:row>
      <xdr:rowOff>57150</xdr:rowOff>
    </xdr:from>
    <xdr:to>
      <xdr:col>7</xdr:col>
      <xdr:colOff>157162</xdr:colOff>
      <xdr:row>49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E8114-DA6B-67E2-47F6-9767D3D05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5823-E285-47A0-AA34-E4B23F9D9069}">
  <dimension ref="A1:J34"/>
  <sheetViews>
    <sheetView tabSelected="1" workbookViewId="0">
      <selection activeCell="H14" sqref="H14"/>
    </sheetView>
  </sheetViews>
  <sheetFormatPr defaultRowHeight="15" x14ac:dyDescent="0.25"/>
  <cols>
    <col min="1" max="1" width="14.42578125" bestFit="1" customWidth="1"/>
  </cols>
  <sheetData>
    <row r="1" spans="1:10" x14ac:dyDescent="0.25">
      <c r="G1">
        <v>10</v>
      </c>
      <c r="H1" t="s">
        <v>6</v>
      </c>
    </row>
    <row r="2" spans="1:10" x14ac:dyDescent="0.25">
      <c r="A2">
        <v>30</v>
      </c>
      <c r="B2" t="s">
        <v>0</v>
      </c>
      <c r="G2">
        <v>30</v>
      </c>
      <c r="H2" t="s">
        <v>2</v>
      </c>
    </row>
    <row r="3" spans="1:10" x14ac:dyDescent="0.25">
      <c r="B3" t="s">
        <v>2</v>
      </c>
    </row>
    <row r="4" spans="1:10" x14ac:dyDescent="0.25">
      <c r="B4" t="s">
        <v>3</v>
      </c>
      <c r="G4">
        <v>300</v>
      </c>
      <c r="H4" t="s">
        <v>3</v>
      </c>
    </row>
    <row r="5" spans="1:10" x14ac:dyDescent="0.25">
      <c r="B5" t="s">
        <v>4</v>
      </c>
      <c r="G5">
        <v>0.9</v>
      </c>
      <c r="H5" t="s">
        <v>4</v>
      </c>
    </row>
    <row r="9" spans="1:10" x14ac:dyDescent="0.25">
      <c r="G9">
        <v>500</v>
      </c>
      <c r="H9" t="s">
        <v>9</v>
      </c>
    </row>
    <row r="11" spans="1:10" x14ac:dyDescent="0.25">
      <c r="H11" t="s">
        <v>8</v>
      </c>
    </row>
    <row r="12" spans="1:10" x14ac:dyDescent="0.25">
      <c r="A12" t="s">
        <v>1</v>
      </c>
      <c r="B12" t="s">
        <v>5</v>
      </c>
      <c r="F12" t="s">
        <v>7</v>
      </c>
      <c r="G12" t="s">
        <v>1</v>
      </c>
      <c r="H12" t="s">
        <v>5</v>
      </c>
      <c r="I12" t="s">
        <v>10</v>
      </c>
      <c r="J12" t="s">
        <v>11</v>
      </c>
    </row>
    <row r="13" spans="1:10" x14ac:dyDescent="0.25">
      <c r="A13">
        <v>5</v>
      </c>
      <c r="B13">
        <f t="shared" ref="B13:B18" si="0">IF(A13&lt;=$A$2,($A$2/A13)^2,0)</f>
        <v>36</v>
      </c>
      <c r="F13">
        <v>25</v>
      </c>
      <c r="G13">
        <v>1</v>
      </c>
      <c r="H13">
        <f t="shared" ref="H13:H34" si="1">MIN(1,MAX(0,1-(G13-$G$1)/($G$2-$G$1)))</f>
        <v>1</v>
      </c>
      <c r="I13">
        <f>MIN(1,$G$9/$G$4)</f>
        <v>1</v>
      </c>
      <c r="J13">
        <f>H13*I13*$G$5*F13</f>
        <v>22.5</v>
      </c>
    </row>
    <row r="14" spans="1:10" x14ac:dyDescent="0.25">
      <c r="A14">
        <v>15</v>
      </c>
      <c r="B14">
        <f t="shared" si="0"/>
        <v>4</v>
      </c>
      <c r="F14">
        <v>25</v>
      </c>
      <c r="G14">
        <v>3</v>
      </c>
      <c r="H14">
        <f>MIN(1,MAX(0,1-(G14-$G$1)/($G$2-$G$1)))</f>
        <v>1</v>
      </c>
      <c r="I14">
        <f t="shared" ref="I14:I34" si="2">MIN(1,$G$9/$G$4)</f>
        <v>1</v>
      </c>
      <c r="J14">
        <f t="shared" ref="J14:J34" si="3">H14*I14*$G$5*F14</f>
        <v>22.5</v>
      </c>
    </row>
    <row r="15" spans="1:10" x14ac:dyDescent="0.25">
      <c r="A15">
        <v>25</v>
      </c>
      <c r="B15">
        <f t="shared" si="0"/>
        <v>1.44</v>
      </c>
      <c r="F15">
        <v>25</v>
      </c>
      <c r="G15">
        <v>5</v>
      </c>
      <c r="H15">
        <f t="shared" si="1"/>
        <v>1</v>
      </c>
      <c r="I15">
        <f t="shared" si="2"/>
        <v>1</v>
      </c>
      <c r="J15">
        <f t="shared" si="3"/>
        <v>22.5</v>
      </c>
    </row>
    <row r="16" spans="1:10" x14ac:dyDescent="0.25">
      <c r="A16">
        <v>35</v>
      </c>
      <c r="B16">
        <f t="shared" si="0"/>
        <v>0</v>
      </c>
      <c r="F16">
        <v>25</v>
      </c>
      <c r="G16">
        <v>7</v>
      </c>
      <c r="H16">
        <f t="shared" si="1"/>
        <v>1</v>
      </c>
      <c r="I16">
        <f t="shared" si="2"/>
        <v>1</v>
      </c>
      <c r="J16">
        <f t="shared" si="3"/>
        <v>22.5</v>
      </c>
    </row>
    <row r="17" spans="1:10" x14ac:dyDescent="0.25">
      <c r="A17">
        <v>45</v>
      </c>
      <c r="B17">
        <f t="shared" si="0"/>
        <v>0</v>
      </c>
      <c r="F17">
        <v>25</v>
      </c>
      <c r="G17">
        <v>9</v>
      </c>
      <c r="H17">
        <f t="shared" si="1"/>
        <v>1</v>
      </c>
      <c r="I17">
        <f t="shared" si="2"/>
        <v>1</v>
      </c>
      <c r="J17">
        <f t="shared" si="3"/>
        <v>22.5</v>
      </c>
    </row>
    <row r="18" spans="1:10" x14ac:dyDescent="0.25">
      <c r="A18">
        <v>55</v>
      </c>
      <c r="B18">
        <f t="shared" si="0"/>
        <v>0</v>
      </c>
      <c r="F18">
        <v>25</v>
      </c>
      <c r="G18">
        <v>11</v>
      </c>
      <c r="H18">
        <f t="shared" si="1"/>
        <v>0.95</v>
      </c>
      <c r="I18">
        <f t="shared" si="2"/>
        <v>1</v>
      </c>
      <c r="J18">
        <f t="shared" si="3"/>
        <v>21.375</v>
      </c>
    </row>
    <row r="19" spans="1:10" x14ac:dyDescent="0.25">
      <c r="F19">
        <v>25</v>
      </c>
      <c r="G19">
        <v>13</v>
      </c>
      <c r="H19">
        <f t="shared" si="1"/>
        <v>0.85</v>
      </c>
      <c r="I19">
        <f t="shared" si="2"/>
        <v>1</v>
      </c>
      <c r="J19">
        <f t="shared" si="3"/>
        <v>19.125</v>
      </c>
    </row>
    <row r="20" spans="1:10" x14ac:dyDescent="0.25">
      <c r="F20">
        <v>25</v>
      </c>
      <c r="G20">
        <v>15</v>
      </c>
      <c r="H20">
        <f t="shared" si="1"/>
        <v>0.75</v>
      </c>
      <c r="I20">
        <f t="shared" si="2"/>
        <v>1</v>
      </c>
      <c r="J20">
        <f t="shared" si="3"/>
        <v>16.875</v>
      </c>
    </row>
    <row r="21" spans="1:10" x14ac:dyDescent="0.25">
      <c r="A21">
        <v>1</v>
      </c>
      <c r="B21">
        <f t="shared" ref="B21:B30" si="4">IF(A21&lt;=$A$2,($A$2/A21)^2,0)</f>
        <v>900</v>
      </c>
      <c r="F21">
        <v>25</v>
      </c>
      <c r="G21">
        <v>17</v>
      </c>
      <c r="H21">
        <f t="shared" si="1"/>
        <v>0.65</v>
      </c>
      <c r="I21">
        <f t="shared" si="2"/>
        <v>1</v>
      </c>
      <c r="J21">
        <f t="shared" si="3"/>
        <v>14.625000000000002</v>
      </c>
    </row>
    <row r="22" spans="1:10" x14ac:dyDescent="0.25">
      <c r="A22">
        <v>2</v>
      </c>
      <c r="B22">
        <f t="shared" si="4"/>
        <v>225</v>
      </c>
      <c r="F22">
        <v>25</v>
      </c>
      <c r="G22">
        <v>19</v>
      </c>
      <c r="H22">
        <f t="shared" si="1"/>
        <v>0.55000000000000004</v>
      </c>
      <c r="I22">
        <f t="shared" si="2"/>
        <v>1</v>
      </c>
      <c r="J22">
        <f t="shared" si="3"/>
        <v>12.375000000000002</v>
      </c>
    </row>
    <row r="23" spans="1:10" x14ac:dyDescent="0.25">
      <c r="A23">
        <v>3</v>
      </c>
      <c r="B23">
        <f t="shared" si="4"/>
        <v>100</v>
      </c>
      <c r="F23">
        <v>25</v>
      </c>
      <c r="G23">
        <v>21</v>
      </c>
      <c r="H23">
        <f t="shared" si="1"/>
        <v>0.44999999999999996</v>
      </c>
      <c r="I23">
        <f t="shared" si="2"/>
        <v>1</v>
      </c>
      <c r="J23">
        <f t="shared" si="3"/>
        <v>10.125</v>
      </c>
    </row>
    <row r="24" spans="1:10" x14ac:dyDescent="0.25">
      <c r="A24">
        <v>4</v>
      </c>
      <c r="B24">
        <f t="shared" si="4"/>
        <v>56.25</v>
      </c>
      <c r="F24">
        <v>25</v>
      </c>
      <c r="G24">
        <v>23</v>
      </c>
      <c r="H24">
        <f t="shared" si="1"/>
        <v>0.35</v>
      </c>
      <c r="I24">
        <f t="shared" si="2"/>
        <v>1</v>
      </c>
      <c r="J24">
        <f t="shared" si="3"/>
        <v>7.875</v>
      </c>
    </row>
    <row r="25" spans="1:10" x14ac:dyDescent="0.25">
      <c r="A25">
        <v>5</v>
      </c>
      <c r="B25">
        <f t="shared" si="4"/>
        <v>36</v>
      </c>
      <c r="F25">
        <v>25</v>
      </c>
      <c r="G25">
        <v>25</v>
      </c>
      <c r="H25">
        <f t="shared" si="1"/>
        <v>0.25</v>
      </c>
      <c r="I25">
        <f t="shared" si="2"/>
        <v>1</v>
      </c>
      <c r="J25">
        <f t="shared" si="3"/>
        <v>5.625</v>
      </c>
    </row>
    <row r="26" spans="1:10" x14ac:dyDescent="0.25">
      <c r="A26">
        <v>6</v>
      </c>
      <c r="B26">
        <f t="shared" si="4"/>
        <v>25</v>
      </c>
      <c r="F26">
        <v>25</v>
      </c>
      <c r="G26">
        <v>27</v>
      </c>
      <c r="H26">
        <f t="shared" si="1"/>
        <v>0.15000000000000002</v>
      </c>
      <c r="I26">
        <f t="shared" si="2"/>
        <v>1</v>
      </c>
      <c r="J26">
        <f t="shared" si="3"/>
        <v>3.3750000000000009</v>
      </c>
    </row>
    <row r="27" spans="1:10" x14ac:dyDescent="0.25">
      <c r="A27">
        <v>7</v>
      </c>
      <c r="B27">
        <f t="shared" si="4"/>
        <v>18.367346938775508</v>
      </c>
      <c r="F27">
        <v>25</v>
      </c>
      <c r="G27">
        <v>29</v>
      </c>
      <c r="H27">
        <f t="shared" si="1"/>
        <v>5.0000000000000044E-2</v>
      </c>
      <c r="I27">
        <f t="shared" si="2"/>
        <v>1</v>
      </c>
      <c r="J27">
        <f t="shared" si="3"/>
        <v>1.1250000000000009</v>
      </c>
    </row>
    <row r="28" spans="1:10" x14ac:dyDescent="0.25">
      <c r="A28">
        <v>8</v>
      </c>
      <c r="B28">
        <f t="shared" si="4"/>
        <v>14.0625</v>
      </c>
      <c r="F28">
        <v>25</v>
      </c>
      <c r="G28">
        <v>31</v>
      </c>
      <c r="H28">
        <f t="shared" si="1"/>
        <v>0</v>
      </c>
      <c r="I28">
        <f t="shared" si="2"/>
        <v>1</v>
      </c>
      <c r="J28">
        <f t="shared" si="3"/>
        <v>0</v>
      </c>
    </row>
    <row r="29" spans="1:10" x14ac:dyDescent="0.25">
      <c r="A29">
        <v>9</v>
      </c>
      <c r="B29">
        <f t="shared" si="4"/>
        <v>11.111111111111112</v>
      </c>
      <c r="F29">
        <v>25</v>
      </c>
      <c r="G29">
        <v>33</v>
      </c>
      <c r="H29">
        <f t="shared" si="1"/>
        <v>0</v>
      </c>
      <c r="I29">
        <f t="shared" si="2"/>
        <v>1</v>
      </c>
      <c r="J29">
        <f t="shared" si="3"/>
        <v>0</v>
      </c>
    </row>
    <row r="30" spans="1:10" x14ac:dyDescent="0.25">
      <c r="A30">
        <v>10</v>
      </c>
      <c r="B30">
        <f t="shared" si="4"/>
        <v>9</v>
      </c>
      <c r="F30">
        <v>25</v>
      </c>
      <c r="G30">
        <v>35</v>
      </c>
      <c r="H30">
        <f t="shared" si="1"/>
        <v>0</v>
      </c>
      <c r="I30">
        <f t="shared" si="2"/>
        <v>1</v>
      </c>
      <c r="J30">
        <f t="shared" si="3"/>
        <v>0</v>
      </c>
    </row>
    <row r="31" spans="1:10" x14ac:dyDescent="0.25">
      <c r="F31">
        <v>25</v>
      </c>
      <c r="G31">
        <v>37</v>
      </c>
      <c r="H31">
        <f t="shared" si="1"/>
        <v>0</v>
      </c>
      <c r="I31">
        <f t="shared" si="2"/>
        <v>1</v>
      </c>
      <c r="J31">
        <f t="shared" si="3"/>
        <v>0</v>
      </c>
    </row>
    <row r="32" spans="1:10" x14ac:dyDescent="0.25">
      <c r="F32">
        <v>25</v>
      </c>
      <c r="G32">
        <v>39</v>
      </c>
      <c r="H32">
        <f t="shared" si="1"/>
        <v>0</v>
      </c>
      <c r="I32">
        <f t="shared" si="2"/>
        <v>1</v>
      </c>
      <c r="J32">
        <f t="shared" si="3"/>
        <v>0</v>
      </c>
    </row>
    <row r="33" spans="6:10" x14ac:dyDescent="0.25">
      <c r="F33">
        <v>25</v>
      </c>
      <c r="G33">
        <v>41</v>
      </c>
      <c r="H33">
        <f t="shared" si="1"/>
        <v>0</v>
      </c>
      <c r="I33">
        <f t="shared" si="2"/>
        <v>1</v>
      </c>
      <c r="J33">
        <f t="shared" si="3"/>
        <v>0</v>
      </c>
    </row>
    <row r="34" spans="6:10" x14ac:dyDescent="0.25">
      <c r="F34">
        <v>25</v>
      </c>
      <c r="G34">
        <v>43</v>
      </c>
      <c r="H34">
        <f t="shared" si="1"/>
        <v>0</v>
      </c>
      <c r="I34">
        <f t="shared" si="2"/>
        <v>1</v>
      </c>
      <c r="J34">
        <f t="shared" si="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 Snow</dc:creator>
  <cp:lastModifiedBy>Val Snow</cp:lastModifiedBy>
  <dcterms:created xsi:type="dcterms:W3CDTF">2025-02-24T02:33:26Z</dcterms:created>
  <dcterms:modified xsi:type="dcterms:W3CDTF">2025-02-25T03:32:32Z</dcterms:modified>
</cp:coreProperties>
</file>